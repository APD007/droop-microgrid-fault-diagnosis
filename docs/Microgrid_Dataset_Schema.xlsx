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20a3df765172288/Desktop/Btech_Final_year_project/"/>
    </mc:Choice>
  </mc:AlternateContent>
  <xr:revisionPtr revIDLastSave="32" documentId="11_C469966BED189923695DE884735C19B5AE1146C6" xr6:coauthVersionLast="47" xr6:coauthVersionMax="47" xr10:uidLastSave="{83A25318-9A2E-4286-8AEE-194B846C708A}"/>
  <bookViews>
    <workbookView xWindow="-108" yWindow="-108" windowWidth="23256" windowHeight="13176" tabRatio="500" xr2:uid="{00000000-000D-0000-FFFF-FFFF00000000}"/>
  </bookViews>
  <sheets>
    <sheet name="Dataset" sheetId="1" r:id="rId1"/>
    <sheet name="Notes" sheetId="2" state="hidden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5" i="2" l="1"/>
  <c r="B23" i="2"/>
</calcChain>
</file>

<file path=xl/sharedStrings.xml><?xml version="1.0" encoding="utf-8"?>
<sst xmlns="http://schemas.openxmlformats.org/spreadsheetml/2006/main" count="72" uniqueCount="70">
  <si>
    <t>ID</t>
  </si>
  <si>
    <t>run_id</t>
  </si>
  <si>
    <t>R_a</t>
  </si>
  <si>
    <t>R_b</t>
  </si>
  <si>
    <t>R_c</t>
  </si>
  <si>
    <t>DG1_PWM1</t>
  </si>
  <si>
    <t>DG1_PWM2</t>
  </si>
  <si>
    <t>DG1_PWM3</t>
  </si>
  <si>
    <t>DG1_PWM4</t>
  </si>
  <si>
    <t>DG1_PWM5</t>
  </si>
  <si>
    <t>DG1_PWM6</t>
  </si>
  <si>
    <t>DG2_PWM1</t>
  </si>
  <si>
    <t>DG2_PWM2</t>
  </si>
  <si>
    <t>DG2_PWM3</t>
  </si>
  <si>
    <t>DG2_PWM4</t>
  </si>
  <si>
    <t>DG2_PWM5</t>
  </si>
  <si>
    <t>DG2_PWM6</t>
  </si>
  <si>
    <t>V1_a</t>
  </si>
  <si>
    <t>V1_b</t>
  </si>
  <si>
    <t>V1_c</t>
  </si>
  <si>
    <t>I1_a</t>
  </si>
  <si>
    <t>I1_b</t>
  </si>
  <si>
    <t>I1_c</t>
  </si>
  <si>
    <t>V2_a</t>
  </si>
  <si>
    <t>V2_b</t>
  </si>
  <si>
    <t>V2_c</t>
  </si>
  <si>
    <t>I2_a</t>
  </si>
  <si>
    <t>I2_b</t>
  </si>
  <si>
    <t>I2_c</t>
  </si>
  <si>
    <t>Data collection plan</t>
  </si>
  <si>
    <t>Model: Droop_control_conditioning.slx - two droop-controlled inverters, islanded</t>
  </si>
  <si>
    <t>COLUMNS</t>
  </si>
  <si>
    <t>Serial number of the simulation run</t>
  </si>
  <si>
    <t>R_a, R_b, R_c</t>
  </si>
  <si>
    <t>Per-phase load resistance in ohm. Equal = balanced, unequal = unbalanced. These are the Series RLC Branch6/7/8 blocks; the other banks stay at their default values.</t>
  </si>
  <si>
    <t>DG1_PWM1 to DG1_PWM6</t>
  </si>
  <si>
    <t>Pulse state of inverter 1. 1 = pulse connected, 0 = pulse disconnected.</t>
  </si>
  <si>
    <t>DG2_PWM1 to DG2_PWM6</t>
  </si>
  <si>
    <t>Same for inverter 2.</t>
  </si>
  <si>
    <t>V1_a, V1_b, V1_c</t>
  </si>
  <si>
    <t>RMS phase voltage at inverter 1 terminals, in volts.</t>
  </si>
  <si>
    <t>I1_a, I1_b, I1_c</t>
  </si>
  <si>
    <t>RMS phase current at inverter 1 output, in amperes.</t>
  </si>
  <si>
    <t>V2_a to I2_c</t>
  </si>
  <si>
    <t>HOW TO DISCONNECT A PULSE</t>
  </si>
  <si>
    <t>Method</t>
  </si>
  <si>
    <t>Insert an elementwise Product between the PWM Generator and the Universal Bridge gate input. Multiply the 6-pulse vector by a mask F = [f1 f2 f3 f4 f5 f6].</t>
  </si>
  <si>
    <t>Healthy</t>
  </si>
  <si>
    <t>F1 = [1 1 1 1 1 1], F2 = [1 1 1 1 1 1]</t>
  </si>
  <si>
    <t>DG1 pulse 3 open</t>
  </si>
  <si>
    <t>F1 = [1 1 0 1 1 1], F2 = [1 1 1 1 1 1]</t>
  </si>
  <si>
    <t>Why</t>
  </si>
  <si>
    <t>Forcing a gate pulse to zero holds that IGBT permanently off. Nothing in the model is deleted, so it is fully reversible.</t>
  </si>
  <si>
    <t>HOW MANY RUNS</t>
  </si>
  <si>
    <t>Balanced load settings</t>
  </si>
  <si>
    <t>R_a = R_b = R_c, five levels</t>
  </si>
  <si>
    <t>Unbalanced load settings</t>
  </si>
  <si>
    <t>one or more phases different</t>
  </si>
  <si>
    <t>Total load settings</t>
  </si>
  <si>
    <t>PWM states</t>
  </si>
  <si>
    <t>1 healthy + 6 for DG1 + 6 for DG2, one pulse at a time</t>
  </si>
  <si>
    <t>TOTAL RUNS</t>
  </si>
  <si>
    <t>load settings x PWM states</t>
  </si>
  <si>
    <t>Blue numbers are yours to change; the totals are formulas.</t>
  </si>
  <si>
    <t>If the guide wants faults on both inverters at once, PWM states become 7 x 7 = 49 instead of 13.</t>
  </si>
  <si>
    <t>LOAD</t>
  </si>
  <si>
    <t xml:space="preserve">PWM STATE  </t>
  </si>
  <si>
    <t xml:space="preserve">MEASURED  </t>
  </si>
  <si>
    <t>OUTPUT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</si>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</sst>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i/>
      <sz val="9"/>
      <name val="Arial"/>
      <charset val="1"/>
    </font>
    <font>
      <b/>
      <sz val="14"/>
      <color rgb="FF1F3864"/>
      <name val="Arial"/>
      <charset val="1"/>
    </font>
    <font>
      <b/>
      <sz val="10"/>
      <name val="Arial"/>
      <charset val="1"/>
    </font>
    <font>
      <b/>
      <sz val="11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404040"/>
        <bgColor rgb="FF1F3864"/>
      </patternFill>
    </fill>
    <fill>
      <patternFill patternType="solid">
        <fgColor rgb="FF2E75B6"/>
        <bgColor rgb="FF0066CC"/>
      </patternFill>
    </fill>
    <fill>
      <patternFill patternType="solid">
        <fgColor rgb="FFBF8F00"/>
        <bgColor rgb="FFFF6600"/>
      </patternFill>
    </fill>
    <fill>
      <patternFill patternType="solid">
        <fgColor rgb="FF548235"/>
        <bgColor rgb="FF339966"/>
      </patternFill>
    </fill>
    <fill>
      <patternFill patternType="solid">
        <fgColor rgb="FFD9E2F3"/>
        <bgColor rgb="FFCCFFFF"/>
      </patternFill>
    </fill>
    <fill>
      <patternFill patternType="solid">
        <fgColor rgb="FF1F4E79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40404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/>
    <xf numFmtId="0" fontId="3" fillId="0" borderId="0" xfId="0" applyFont="1" applyAlignment="1">
      <alignment vertical="top" wrapText="1"/>
    </xf>
    <xf numFmtId="0" fontId="6" fillId="6" borderId="0" xfId="0" applyFont="1" applyFill="1"/>
    <xf numFmtId="0" fontId="3" fillId="6" borderId="0" xfId="0" applyFont="1" applyFill="1" applyAlignment="1">
      <alignment vertical="top" wrapText="1"/>
    </xf>
    <xf numFmtId="0" fontId="2" fillId="0" borderId="1" xfId="0" applyFont="1" applyBorder="1"/>
    <xf numFmtId="0" fontId="6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"/>
  <sheetViews>
    <sheetView tabSelected="1" zoomScaleNormal="100" workbookViewId="0">
      <pane xSplit="1" ySplit="3" topLeftCell="F4" activePane="bottomRight" state="frozen"/>
      <selection pane="topRight" activeCell="B1" sqref="B1"/>
      <selection pane="bottomLeft" activeCell="A3" sqref="A3"/>
      <selection pane="bottomRight" activeCell="G18" sqref="G18"/>
    </sheetView>
  </sheetViews>
  <sheetFormatPr defaultColWidth="8.6640625" defaultRowHeight="14.4" x14ac:dyDescent="0.3"/>
  <cols>
    <col min="1" max="1" width="6.5546875" bestFit="1" customWidth="1"/>
    <col min="2" max="2" width="4.33203125" bestFit="1" customWidth="1"/>
    <col min="3" max="3" width="4.44140625" bestFit="1" customWidth="1"/>
    <col min="4" max="4" width="4.33203125" bestFit="1" customWidth="1"/>
    <col min="5" max="16" width="11.33203125" bestFit="1" customWidth="1"/>
    <col min="17" max="17" width="5.21875" bestFit="1" customWidth="1"/>
    <col min="18" max="18" width="5.33203125" bestFit="1" customWidth="1"/>
    <col min="19" max="19" width="5.21875" bestFit="1" customWidth="1"/>
    <col min="20" max="20" width="4.44140625" bestFit="1" customWidth="1"/>
    <col min="21" max="21" width="4.5546875" bestFit="1" customWidth="1"/>
    <col min="22" max="22" width="4.44140625" bestFit="1" customWidth="1"/>
    <col min="23" max="23" width="5.21875" bestFit="1" customWidth="1"/>
    <col min="24" max="24" width="5.33203125" bestFit="1" customWidth="1"/>
    <col min="25" max="25" width="5.21875" bestFit="1" customWidth="1"/>
    <col min="26" max="26" width="4.44140625" bestFit="1" customWidth="1"/>
    <col min="27" max="27" width="4.5546875" bestFit="1" customWidth="1"/>
    <col min="28" max="28" width="4.44140625" bestFit="1" customWidth="1"/>
  </cols>
  <sheetData>
    <row r="1" spans="1:28" ht="19.95" customHeight="1" x14ac:dyDescent="0.3">
      <c r="A1" s="22"/>
      <c r="B1" s="20" t="s">
        <v>68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 t="s">
        <v>69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28" x14ac:dyDescent="0.3">
      <c r="A2" s="1" t="s">
        <v>0</v>
      </c>
      <c r="B2" s="17" t="s">
        <v>65</v>
      </c>
      <c r="C2" s="17"/>
      <c r="D2" s="17"/>
      <c r="E2" s="18" t="s">
        <v>66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9" t="s">
        <v>67</v>
      </c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x14ac:dyDescent="0.3">
      <c r="A3" s="2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 t="s">
        <v>26</v>
      </c>
      <c r="AA3" s="5" t="s">
        <v>27</v>
      </c>
      <c r="AB3" s="5" t="s">
        <v>28</v>
      </c>
    </row>
    <row r="4" spans="1:28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2" spans="1:28" x14ac:dyDescent="0.3">
      <c r="A12" s="8"/>
    </row>
    <row r="13" spans="1:28" x14ac:dyDescent="0.3">
      <c r="A13" s="8"/>
    </row>
    <row r="14" spans="1:28" x14ac:dyDescent="0.3">
      <c r="A14" s="8"/>
    </row>
  </sheetData>
  <mergeCells count="5">
    <mergeCell ref="B2:D2"/>
    <mergeCell ref="E2:P2"/>
    <mergeCell ref="Q2:AB2"/>
    <mergeCell ref="B1:P1"/>
    <mergeCell ref="Q1:AB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zoomScaleNormal="100" workbookViewId="0"/>
  </sheetViews>
  <sheetFormatPr defaultColWidth="8.6640625" defaultRowHeight="14.4" x14ac:dyDescent="0.3"/>
  <cols>
    <col min="1" max="1" width="24" customWidth="1"/>
    <col min="2" max="2" width="88" customWidth="1"/>
    <col min="3" max="3" width="30" customWidth="1"/>
  </cols>
  <sheetData>
    <row r="1" spans="1:2" ht="17.399999999999999" x14ac:dyDescent="0.3">
      <c r="A1" s="9" t="s">
        <v>29</v>
      </c>
    </row>
    <row r="2" spans="1:2" x14ac:dyDescent="0.3">
      <c r="A2" s="10" t="s">
        <v>30</v>
      </c>
    </row>
    <row r="4" spans="1:2" x14ac:dyDescent="0.3">
      <c r="A4" s="11"/>
      <c r="B4" s="12"/>
    </row>
    <row r="5" spans="1:2" x14ac:dyDescent="0.3">
      <c r="A5" s="13" t="s">
        <v>31</v>
      </c>
      <c r="B5" s="14"/>
    </row>
    <row r="6" spans="1:2" x14ac:dyDescent="0.3">
      <c r="A6" s="10" t="s">
        <v>1</v>
      </c>
      <c r="B6" s="12" t="s">
        <v>32</v>
      </c>
    </row>
    <row r="7" spans="1:2" ht="26.4" x14ac:dyDescent="0.3">
      <c r="A7" s="10" t="s">
        <v>33</v>
      </c>
      <c r="B7" s="12" t="s">
        <v>34</v>
      </c>
    </row>
    <row r="8" spans="1:2" x14ac:dyDescent="0.3">
      <c r="A8" s="10" t="s">
        <v>35</v>
      </c>
      <c r="B8" s="12" t="s">
        <v>36</v>
      </c>
    </row>
    <row r="9" spans="1:2" x14ac:dyDescent="0.3">
      <c r="A9" s="10" t="s">
        <v>37</v>
      </c>
      <c r="B9" s="12" t="s">
        <v>38</v>
      </c>
    </row>
    <row r="10" spans="1:2" x14ac:dyDescent="0.3">
      <c r="A10" s="10" t="s">
        <v>39</v>
      </c>
      <c r="B10" s="12" t="s">
        <v>40</v>
      </c>
    </row>
    <row r="11" spans="1:2" x14ac:dyDescent="0.3">
      <c r="A11" s="10" t="s">
        <v>41</v>
      </c>
      <c r="B11" s="12" t="s">
        <v>42</v>
      </c>
    </row>
    <row r="12" spans="1:2" x14ac:dyDescent="0.3">
      <c r="A12" s="10" t="s">
        <v>43</v>
      </c>
      <c r="B12" s="12" t="s">
        <v>38</v>
      </c>
    </row>
    <row r="13" spans="1:2" x14ac:dyDescent="0.3">
      <c r="A13" s="11"/>
      <c r="B13" s="12"/>
    </row>
    <row r="14" spans="1:2" x14ac:dyDescent="0.3">
      <c r="A14" s="13" t="s">
        <v>44</v>
      </c>
      <c r="B14" s="14"/>
    </row>
    <row r="15" spans="1:2" ht="26.4" x14ac:dyDescent="0.3">
      <c r="A15" s="10" t="s">
        <v>45</v>
      </c>
      <c r="B15" s="12" t="s">
        <v>46</v>
      </c>
    </row>
    <row r="16" spans="1:2" x14ac:dyDescent="0.3">
      <c r="A16" s="10" t="s">
        <v>47</v>
      </c>
      <c r="B16" s="12" t="s">
        <v>48</v>
      </c>
    </row>
    <row r="17" spans="1:3" x14ac:dyDescent="0.3">
      <c r="A17" s="10" t="s">
        <v>49</v>
      </c>
      <c r="B17" s="12" t="s">
        <v>50</v>
      </c>
    </row>
    <row r="18" spans="1:3" ht="26.4" x14ac:dyDescent="0.3">
      <c r="A18" s="10" t="s">
        <v>51</v>
      </c>
      <c r="B18" s="12" t="s">
        <v>52</v>
      </c>
    </row>
    <row r="19" spans="1:3" x14ac:dyDescent="0.3">
      <c r="A19" s="11"/>
      <c r="B19" s="12"/>
    </row>
    <row r="20" spans="1:3" x14ac:dyDescent="0.3">
      <c r="A20" s="13" t="s">
        <v>53</v>
      </c>
      <c r="B20" s="14"/>
    </row>
    <row r="21" spans="1:3" x14ac:dyDescent="0.3">
      <c r="A21" s="10" t="s">
        <v>54</v>
      </c>
      <c r="B21" s="15">
        <v>5</v>
      </c>
      <c r="C21" s="8" t="s">
        <v>55</v>
      </c>
    </row>
    <row r="22" spans="1:3" x14ac:dyDescent="0.3">
      <c r="A22" s="10" t="s">
        <v>56</v>
      </c>
      <c r="B22" s="15">
        <v>45</v>
      </c>
      <c r="C22" s="8" t="s">
        <v>57</v>
      </c>
    </row>
    <row r="23" spans="1:3" x14ac:dyDescent="0.3">
      <c r="A23" s="10" t="s">
        <v>58</v>
      </c>
      <c r="B23" s="16">
        <f>B21+B22</f>
        <v>50</v>
      </c>
      <c r="C23" s="8"/>
    </row>
    <row r="24" spans="1:3" x14ac:dyDescent="0.3">
      <c r="A24" s="10" t="s">
        <v>59</v>
      </c>
      <c r="B24" s="15">
        <v>13</v>
      </c>
      <c r="C24" s="8" t="s">
        <v>60</v>
      </c>
    </row>
    <row r="25" spans="1:3" x14ac:dyDescent="0.3">
      <c r="A25" s="11" t="s">
        <v>61</v>
      </c>
      <c r="B25" s="16">
        <f>B23*B24</f>
        <v>650</v>
      </c>
      <c r="C25" s="8" t="s">
        <v>62</v>
      </c>
    </row>
    <row r="27" spans="1:3" x14ac:dyDescent="0.3">
      <c r="A27" s="8" t="s">
        <v>63</v>
      </c>
    </row>
    <row r="28" spans="1:3" x14ac:dyDescent="0.3">
      <c r="A28" s="8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Ayush Prasad</cp:lastModifiedBy>
  <cp:revision>0</cp:revision>
  <dcterms:created xsi:type="dcterms:W3CDTF">2026-08-21T08:45:46Z</dcterms:created>
  <dcterms:modified xsi:type="dcterms:W3CDTF">2026-08-21T14:23:52Z</dcterms:modified>
  <dc:language>en-US</dc:language>
</cp:coreProperties>
</file>